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500" firstSheet="0" activeTab="0" autoFilterDateGrouping="1"/>
  </bookViews>
  <sheets>
    <sheet name="Template" sheetId="1" state="visible" r:id="rId1"/>
    <sheet name="2026" sheetId="2" state="visible" r:id="rId2"/>
  </sheets>
  <externalReferences>
    <externalReference r:id="rId3"/>
  </externalReferences>
  <definedNames>
    <definedName name="blabla">[1]tools!#REF!</definedName>
    <definedName name="DB_expenses">#REF!</definedName>
    <definedName name="expenses_subjects">#REF!</definedName>
    <definedName name="expenses_types">#REF!</definedName>
    <definedName name="expenses_types_old">#REF!</definedName>
    <definedName name="subjects">#REF!</definedName>
    <definedName name="expenses_subjects" localSheetId="0">Template!$A$2:$A$36</definedName>
    <definedName name="expenses_types" localSheetId="0">Template!$B$2:$B$36</definedName>
    <definedName name="subjects" localSheetId="0">Template!$A:$A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#,###.00"/>
    <numFmt numFmtId="165" formatCode="&quot;₪ &quot;#,##0.00"/>
  </numFmts>
  <fonts count="9">
    <font>
      <name val="Calibri"/>
      <charset val="1"/>
      <family val="2"/>
      <color theme="1"/>
      <sz val="11"/>
    </font>
    <font>
      <name val="Calibri"/>
      <charset val="177"/>
      <family val="2"/>
      <color theme="1"/>
      <sz val="10"/>
    </font>
    <font>
      <name val="Arial"/>
      <charset val="1"/>
      <family val="2"/>
      <sz val="10"/>
    </font>
    <font>
      <name val="Calibri"/>
      <charset val="1"/>
      <family val="2"/>
      <b val="1"/>
      <sz val="11"/>
    </font>
    <font>
      <name val="Cambria"/>
      <charset val="1"/>
      <b val="1"/>
      <sz val="11"/>
    </font>
    <font>
      <name val="Calibri"/>
      <charset val="1"/>
      <family val="2"/>
      <b val="1"/>
      <color theme="1"/>
      <sz val="12"/>
    </font>
    <font>
      <name val="Calibri"/>
      <charset val="1"/>
      <family val="2"/>
      <sz val="11"/>
    </font>
    <font>
      <name val="Cambria"/>
      <charset val="1"/>
      <sz val="11"/>
    </font>
    <font/>
  </fonts>
  <fills count="3">
    <fill>
      <patternFill/>
    </fill>
    <fill>
      <patternFill patternType="gray125"/>
    </fill>
    <fill>
      <patternFill patternType="solid">
        <fgColor theme="5" tint="0.7998901333658864"/>
        <bgColor rgb="FFFFFFFF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5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4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/>
    </xf>
    <xf numFmtId="164" fontId="0" fillId="0" borderId="0" pivotButton="0" quotePrefix="0" xfId="0"/>
    <xf numFmtId="0" fontId="0" fillId="0" borderId="1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/>
    </xf>
    <xf numFmtId="164" fontId="4" fillId="0" borderId="0" pivotButton="0" quotePrefix="0" xfId="0"/>
    <xf numFmtId="0" fontId="7" fillId="0" borderId="6" pivotButton="0" quotePrefix="0" xfId="0"/>
    <xf numFmtId="0" fontId="0" fillId="0" borderId="14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7" fillId="0" borderId="15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9" fontId="6" fillId="0" borderId="14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9" fontId="6" fillId="0" borderId="13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6" fillId="0" borderId="14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14" pivotButton="0" quotePrefix="0" xfId="0"/>
    <xf numFmtId="9" fontId="3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readingOrder="2"/>
    </xf>
    <xf numFmtId="0" fontId="0" fillId="0" borderId="3" pivotButton="0" quotePrefix="0" xfId="0"/>
    <xf numFmtId="0" fontId="8" fillId="0" borderId="5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/>
    </xf>
  </cellXfs>
  <cellStyles count="3">
    <cellStyle name="Normal" xfId="0" builtinId="0"/>
    <cellStyle name="Normal 2" xfId="1"/>
    <cellStyle name="Normal 3" xfId="2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5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too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tool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1"/>
  <sheetViews>
    <sheetView rightToLeft="1" tabSelected="1" zoomScaleNormal="100" workbookViewId="0">
      <selection activeCell="B34" sqref="B34"/>
    </sheetView>
  </sheetViews>
  <sheetFormatPr baseColWidth="8" defaultColWidth="8.85546875" defaultRowHeight="15"/>
  <cols>
    <col width="12" customWidth="1" style="1" min="1" max="1"/>
    <col width="18" customWidth="1" style="1" min="2" max="2"/>
    <col width="8.42578125" customWidth="1" style="1" min="3" max="6"/>
    <col width="11.5703125" customWidth="1" style="1" min="7" max="9"/>
    <col width="8.42578125" customWidth="1" style="1" min="10" max="10"/>
    <col width="11.5703125" customWidth="1" style="1" min="11" max="16"/>
    <col width="10" customWidth="1" style="1" min="17" max="21"/>
    <col width="8.140625" customWidth="1" style="1" min="22" max="22"/>
    <col width="11.5703125" customWidth="1" min="16384" max="16384"/>
  </cols>
  <sheetData>
    <row r="1" ht="15" customHeight="1">
      <c r="A1" s="2" t="inlineStr">
        <is>
          <t>נושא</t>
        </is>
      </c>
      <c r="B1" s="2" t="inlineStr">
        <is>
          <t>פירוט הוצאות</t>
        </is>
      </c>
      <c r="C1" s="3" t="n">
        <v>1</v>
      </c>
      <c r="D1" s="3" t="n">
        <v>2</v>
      </c>
      <c r="E1" s="3" t="n">
        <v>3</v>
      </c>
      <c r="F1" s="3" t="n">
        <v>4</v>
      </c>
      <c r="G1" s="3" t="n">
        <v>5</v>
      </c>
      <c r="H1" s="3" t="n">
        <v>6</v>
      </c>
      <c r="I1" s="3" t="n">
        <v>7</v>
      </c>
      <c r="J1" s="3" t="n">
        <v>8</v>
      </c>
      <c r="K1" s="3" t="n">
        <v>9</v>
      </c>
      <c r="L1" s="3" t="n">
        <v>10</v>
      </c>
      <c r="M1" s="3" t="n">
        <v>11</v>
      </c>
      <c r="N1" s="3" t="n">
        <v>12</v>
      </c>
      <c r="O1" s="4" t="inlineStr">
        <is>
          <t>ממוצע חודשי</t>
        </is>
      </c>
      <c r="P1" s="5" t="inlineStr">
        <is>
          <t>עלות מצטברת</t>
        </is>
      </c>
      <c r="Q1" s="6" t="n"/>
      <c r="R1" s="6" t="n"/>
      <c r="S1" s="6" t="n"/>
      <c r="T1" s="6" t="n"/>
      <c r="U1" s="6" t="n"/>
      <c r="V1" s="7" t="n"/>
    </row>
    <row r="2" ht="15" customHeight="1">
      <c r="A2" s="45" t="inlineStr">
        <is>
          <t>רכב</t>
        </is>
      </c>
      <c r="B2" s="8" t="inlineStr">
        <is>
          <t>דלק</t>
        </is>
      </c>
      <c r="C2" s="9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1">
        <f>ROUND(SUM(C2:N2) / MONTH(TODAY()), 0)</f>
        <v/>
      </c>
      <c r="P2" s="12">
        <f>ROUND(SUM(C2:N2), 0)</f>
        <v/>
      </c>
      <c r="Q2" s="13" t="n"/>
      <c r="R2" s="13" t="n"/>
      <c r="S2" s="13" t="n"/>
      <c r="T2" s="13" t="n"/>
      <c r="U2" s="13" t="n"/>
    </row>
    <row r="3" ht="15" customHeight="1">
      <c r="A3" s="46" t="n"/>
      <c r="B3" s="14" t="inlineStr">
        <is>
          <t>ביטוח חובה</t>
        </is>
      </c>
      <c r="C3" s="15" t="n"/>
      <c r="O3" s="15">
        <f>ROUND(SUM(C3:N3) / MONTH(TODAY()), 0)</f>
        <v/>
      </c>
      <c r="P3" s="16">
        <f>ROUND(SUM(C3:N3), 0)</f>
        <v/>
      </c>
    </row>
    <row r="4" ht="15" customHeight="1">
      <c r="A4" s="46" t="n"/>
      <c r="B4" s="14" t="inlineStr">
        <is>
          <t>ביטוח מקיף</t>
        </is>
      </c>
      <c r="C4" s="15" t="n"/>
      <c r="O4" s="15">
        <f>ROUND(SUM(C4:N4) / MONTH(TODAY()), 0)</f>
        <v/>
      </c>
      <c r="P4" s="16">
        <f>ROUND(SUM(C4:N4), 0)</f>
        <v/>
      </c>
    </row>
    <row r="5" ht="15" customHeight="1">
      <c r="A5" s="46" t="n"/>
      <c r="B5" s="14" t="inlineStr">
        <is>
          <t>טיפולים</t>
        </is>
      </c>
      <c r="C5" s="15" t="n"/>
      <c r="O5" s="15">
        <f>ROUND(SUM(C5:N5) / MONTH(TODAY()), 0)</f>
        <v/>
      </c>
      <c r="P5" s="16">
        <f>ROUND(SUM(C5:N5), 0)</f>
        <v/>
      </c>
    </row>
    <row r="6" ht="15" customHeight="1">
      <c r="A6" s="46" t="n"/>
      <c r="B6" s="14" t="inlineStr">
        <is>
          <t>אגרה וטסט</t>
        </is>
      </c>
      <c r="C6" s="15" t="n"/>
      <c r="O6" s="15">
        <f>ROUND(SUM(C6:N6) / MONTH(TODAY()), 0)</f>
        <v/>
      </c>
      <c r="P6" s="16">
        <f>ROUND(SUM(C6:N6), 0)</f>
        <v/>
      </c>
      <c r="Q6" s="17" t="n"/>
      <c r="R6" s="17" t="n"/>
      <c r="S6" s="18" t="n"/>
    </row>
    <row r="7" ht="15" customHeight="1">
      <c r="A7" s="46" t="n"/>
      <c r="B7" s="14" t="inlineStr">
        <is>
          <t>כבישי אגרה</t>
        </is>
      </c>
      <c r="C7" s="15" t="n"/>
      <c r="O7" s="15">
        <f>ROUND(SUM(C7:N7) / MONTH(TODAY()), 0)</f>
        <v/>
      </c>
      <c r="P7" s="16">
        <f>ROUND(SUM(C7:N7), 0)</f>
        <v/>
      </c>
      <c r="Q7" s="17" t="n"/>
      <c r="R7" s="17" t="n"/>
      <c r="S7" s="18" t="n"/>
    </row>
    <row r="8" ht="15" customHeight="1">
      <c r="A8" s="46" t="n"/>
      <c r="B8" s="14" t="inlineStr">
        <is>
          <t>חניה</t>
        </is>
      </c>
      <c r="C8" s="15" t="n"/>
      <c r="O8" s="15">
        <f>ROUND(SUM(C8:N8) / MONTH(TODAY()), 0)</f>
        <v/>
      </c>
      <c r="P8" s="16">
        <f>ROUND(SUM(C8:N8), 0)</f>
        <v/>
      </c>
      <c r="Q8" s="17" t="n"/>
      <c r="R8" s="17" t="n"/>
      <c r="S8" s="18" t="n"/>
    </row>
    <row r="9" ht="15" customHeight="1">
      <c r="A9" s="46" t="n"/>
      <c r="B9" s="16" t="inlineStr">
        <is>
          <t>תחב"צ</t>
        </is>
      </c>
      <c r="C9" s="15" t="n"/>
      <c r="O9" s="15">
        <f>ROUND(SUM(C9:N9) / MONTH(TODAY()), 0)</f>
        <v/>
      </c>
      <c r="P9" s="16">
        <f>ROUND(SUM(C9:N9), 0)</f>
        <v/>
      </c>
      <c r="Q9" s="17" t="n"/>
      <c r="R9" s="17" t="n"/>
      <c r="S9" s="18" t="n"/>
    </row>
    <row r="10" ht="15" customHeight="1">
      <c r="A10" s="47" t="n"/>
      <c r="B10" s="16" t="inlineStr">
        <is>
          <t>רכב: שונות</t>
        </is>
      </c>
      <c r="C10" s="19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19">
        <f>ROUND(SUM(C10:N10) / MONTH(TODAY()), 0)</f>
        <v/>
      </c>
      <c r="P10" s="21">
        <f>ROUND(SUM(C10:N10), 0)</f>
        <v/>
      </c>
      <c r="Q10" s="17" t="n"/>
      <c r="R10" s="17" t="n"/>
      <c r="S10" s="18" t="n"/>
    </row>
    <row r="11" ht="15" customHeight="1">
      <c r="A11" s="45" t="inlineStr">
        <is>
          <t>דירה</t>
        </is>
      </c>
      <c r="B11" s="22" t="inlineStr">
        <is>
          <t>שכירות\משכנתא</t>
        </is>
      </c>
      <c r="C11" s="9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1">
        <f>ROUND(SUM(C11:N11) / MONTH(TODAY()), 0)</f>
        <v/>
      </c>
      <c r="P11" s="12">
        <f>ROUND(SUM(C11:N11), 0)</f>
        <v/>
      </c>
      <c r="Q11" s="23" t="n"/>
      <c r="R11" s="23" t="n"/>
      <c r="S11" s="24" t="n"/>
      <c r="T11" s="13" t="n"/>
      <c r="U11" s="13" t="n"/>
    </row>
    <row r="12" ht="15" customHeight="1">
      <c r="A12" s="46" t="n"/>
      <c r="B12" s="14" t="inlineStr">
        <is>
          <t>ועד בית</t>
        </is>
      </c>
      <c r="C12" s="15" t="n"/>
      <c r="O12" s="15">
        <f>ROUND(SUM(C12:N12) / MONTH(TODAY()), 0)</f>
        <v/>
      </c>
      <c r="P12" s="16">
        <f>ROUND(SUM(C12:N12), 0)</f>
        <v/>
      </c>
      <c r="Q12" s="17" t="n"/>
      <c r="R12" s="17" t="n"/>
      <c r="S12" s="18" t="n"/>
    </row>
    <row r="13" ht="15" customHeight="1">
      <c r="A13" s="46" t="n"/>
      <c r="B13" s="14" t="inlineStr">
        <is>
          <t>ארנונה</t>
        </is>
      </c>
      <c r="C13" s="15" t="n"/>
      <c r="O13" s="15">
        <f>ROUND(SUM(C13:N13) / MONTH(TODAY()), 0)</f>
        <v/>
      </c>
      <c r="P13" s="16">
        <f>ROUND(SUM(C13:N13), 0)</f>
        <v/>
      </c>
      <c r="Q13" s="17" t="n"/>
      <c r="R13" s="17" t="n"/>
      <c r="S13" s="18" t="n"/>
    </row>
    <row r="14" ht="15" customHeight="1">
      <c r="A14" s="46" t="n"/>
      <c r="B14" s="14" t="inlineStr">
        <is>
          <t>חשמל</t>
        </is>
      </c>
      <c r="C14" s="15" t="n"/>
      <c r="O14" s="15">
        <f>ROUND(SUM(C14:N14) / MONTH(TODAY()), 0)</f>
        <v/>
      </c>
      <c r="P14" s="16">
        <f>ROUND(SUM(C14:N14), 0)</f>
        <v/>
      </c>
      <c r="Q14" s="17" t="n"/>
      <c r="R14" s="17" t="n"/>
      <c r="S14" s="18" t="n"/>
    </row>
    <row r="15" ht="15" customHeight="1">
      <c r="A15" s="46" t="n"/>
      <c r="B15" s="14" t="inlineStr">
        <is>
          <t>מים</t>
        </is>
      </c>
      <c r="C15" s="15" t="n"/>
      <c r="O15" s="15">
        <f>ROUND(SUM(C15:N15) / MONTH(TODAY()), 0)</f>
        <v/>
      </c>
      <c r="P15" s="16">
        <f>ROUND(SUM(C15:N15), 0)</f>
        <v/>
      </c>
      <c r="Q15" s="17" t="n"/>
      <c r="R15" s="17" t="n"/>
      <c r="S15" s="18" t="n"/>
    </row>
    <row r="16" ht="15" customHeight="1">
      <c r="A16" s="46" t="n"/>
      <c r="B16" s="14" t="inlineStr">
        <is>
          <t>גז</t>
        </is>
      </c>
      <c r="C16" s="15" t="n"/>
      <c r="O16" s="15">
        <f>ROUND(SUM(C16:N16) / MONTH(TODAY()), 0)</f>
        <v/>
      </c>
      <c r="P16" s="16">
        <f>ROUND(SUM(C16:N16), 0)</f>
        <v/>
      </c>
      <c r="Q16" s="17" t="n"/>
      <c r="R16" s="17" t="n"/>
      <c r="S16" s="18" t="n"/>
    </row>
    <row r="17" ht="15" customHeight="1">
      <c r="A17" s="47" t="n"/>
      <c r="B17" s="14" t="inlineStr">
        <is>
          <t>תיקונים</t>
        </is>
      </c>
      <c r="C17" s="19" t="n"/>
      <c r="D17" s="20" t="n"/>
      <c r="E17" s="20" t="n"/>
      <c r="F17" s="20" t="n"/>
      <c r="G17" s="20" t="n"/>
      <c r="H17" s="20" t="n"/>
      <c r="I17" s="20" t="n"/>
      <c r="J17" s="20" t="n"/>
      <c r="K17" s="20" t="n"/>
      <c r="L17" s="20" t="n"/>
      <c r="M17" s="20" t="n"/>
      <c r="N17" s="20" t="n"/>
      <c r="O17" s="19">
        <f>ROUND(SUM(C17:N17) / MONTH(TODAY()), 0)</f>
        <v/>
      </c>
      <c r="P17" s="21">
        <f>ROUND(SUM(C17:N17), 0)</f>
        <v/>
      </c>
      <c r="Q17" s="17" t="n"/>
      <c r="R17" s="17" t="n"/>
      <c r="S17" s="18" t="n"/>
    </row>
    <row r="18" ht="15" customHeight="1">
      <c r="A18" s="45" t="inlineStr">
        <is>
          <t>בילוי</t>
        </is>
      </c>
      <c r="B18" s="22" t="inlineStr">
        <is>
          <t>חופשות וטיולים</t>
        </is>
      </c>
      <c r="C18" s="9" t="n"/>
      <c r="D18" s="10" t="n"/>
      <c r="E18" s="10" t="n"/>
      <c r="F18" s="10" t="n"/>
      <c r="G18" s="10" t="n"/>
      <c r="H18" s="10" t="n"/>
      <c r="I18" s="25" t="n"/>
      <c r="J18" s="10" t="n"/>
      <c r="K18" s="10" t="n"/>
      <c r="L18" s="10" t="n"/>
      <c r="M18" s="10" t="n"/>
      <c r="N18" s="10" t="n"/>
      <c r="O18" s="11">
        <f>ROUND(SUM(C18:N18) / MONTH(TODAY()), 0)</f>
        <v/>
      </c>
      <c r="P18" s="12">
        <f>ROUND(SUM(C18:N18), 0)</f>
        <v/>
      </c>
      <c r="Q18" s="23" t="n"/>
      <c r="R18" s="23" t="n"/>
      <c r="S18" s="24" t="n"/>
      <c r="T18" s="13" t="n"/>
      <c r="U18" s="13" t="n"/>
    </row>
    <row r="19" ht="15" customHeight="1">
      <c r="A19" s="46" t="n"/>
      <c r="B19" s="14" t="inlineStr">
        <is>
          <t>מסעדות</t>
        </is>
      </c>
      <c r="C19" s="15" t="n"/>
      <c r="O19" s="15">
        <f>ROUND(SUM(C19:N19) / MONTH(TODAY()), 0)</f>
        <v/>
      </c>
      <c r="P19" s="16">
        <f>ROUND(SUM(C19:N19), 0)</f>
        <v/>
      </c>
      <c r="Q19" s="17" t="n"/>
      <c r="R19" s="17" t="n"/>
      <c r="S19" s="18" t="n"/>
    </row>
    <row r="20" ht="15" customHeight="1">
      <c r="A20" s="47" t="n"/>
      <c r="B20" s="26" t="inlineStr">
        <is>
          <t>הופעות</t>
        </is>
      </c>
      <c r="C20" s="19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19">
        <f>ROUND(SUM(C20:N20) / MONTH(TODAY()), 0)</f>
        <v/>
      </c>
      <c r="P20" s="21">
        <f>ROUND(SUM(C20:N20), 0)</f>
        <v/>
      </c>
      <c r="Q20" s="17" t="n"/>
      <c r="R20" s="17" t="n"/>
      <c r="S20" s="18" t="n"/>
    </row>
    <row r="21" ht="15" customHeight="1">
      <c r="A21" s="45" t="inlineStr">
        <is>
          <t>מזון ומחיה</t>
        </is>
      </c>
      <c r="B21" s="22" t="inlineStr">
        <is>
          <t>קניות</t>
        </is>
      </c>
      <c r="C21" s="9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1">
        <f>ROUND(SUM(C21:N21) / MONTH(TODAY()), 0)</f>
        <v/>
      </c>
      <c r="P21" s="12">
        <f>ROUND(SUM(C21:N21), 0)</f>
        <v/>
      </c>
      <c r="Q21" s="23" t="n"/>
      <c r="R21" s="23" t="n"/>
      <c r="S21" s="24" t="n"/>
      <c r="T21" s="13" t="n"/>
      <c r="U21" s="13" t="n"/>
    </row>
    <row r="22" ht="15" customHeight="1">
      <c r="A22" s="46" t="n"/>
      <c r="B22" s="14" t="inlineStr">
        <is>
          <t>אוכל בעבודה</t>
        </is>
      </c>
      <c r="C22" s="15" t="n"/>
      <c r="O22" s="15">
        <f>ROUND(SUM(C22:N22) / MONTH(TODAY()), 0)</f>
        <v/>
      </c>
      <c r="P22" s="16">
        <f>ROUND(SUM(C22:N22), 0)</f>
        <v/>
      </c>
      <c r="Q22" s="17" t="n"/>
      <c r="R22" s="17" t="n"/>
      <c r="S22" s="18" t="n"/>
    </row>
    <row r="23" ht="15" customHeight="1">
      <c r="A23" s="47" t="n"/>
      <c r="B23" s="26" t="inlineStr">
        <is>
          <t>תמי 4</t>
        </is>
      </c>
      <c r="C23" s="19" t="n"/>
      <c r="D23" s="20" t="n"/>
      <c r="E23" s="20" t="n"/>
      <c r="F23" s="20" t="n"/>
      <c r="G23" s="20" t="n"/>
      <c r="H23" s="20" t="n"/>
      <c r="I23" s="20" t="n"/>
      <c r="J23" s="20" t="n"/>
      <c r="K23" s="20" t="n"/>
      <c r="L23" s="20" t="n"/>
      <c r="M23" s="20" t="n"/>
      <c r="N23" s="20" t="n"/>
      <c r="O23" s="19">
        <f>ROUND(SUM(C23:N23) / MONTH(TODAY()), 0)</f>
        <v/>
      </c>
      <c r="P23" s="21">
        <f>ROUND(SUM(C23:N23), 0)</f>
        <v/>
      </c>
      <c r="Q23" s="17" t="n"/>
      <c r="R23" s="17" t="n"/>
      <c r="S23" s="18" t="n"/>
    </row>
    <row r="24" ht="15" customHeight="1">
      <c r="A24" s="45" t="inlineStr">
        <is>
          <t>תקשורת</t>
        </is>
      </c>
      <c r="B24" s="22" t="inlineStr">
        <is>
          <t>סטרימינג</t>
        </is>
      </c>
      <c r="C24" s="9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1">
        <f>ROUND(SUM(C24:N24) / MONTH(TODAY()), 0)</f>
        <v/>
      </c>
      <c r="P24" s="12">
        <f>ROUND(SUM(C24:N24), 0)</f>
        <v/>
      </c>
      <c r="Q24" s="13" t="n"/>
      <c r="R24" s="13" t="n"/>
      <c r="S24" s="13" t="n"/>
      <c r="T24" s="13" t="n"/>
      <c r="U24" s="13" t="n"/>
    </row>
    <row r="25" ht="15" customHeight="1">
      <c r="A25" s="46" t="n"/>
      <c r="B25" s="14" t="inlineStr">
        <is>
          <t>סלולר</t>
        </is>
      </c>
      <c r="C25" s="15" t="n"/>
      <c r="O25" s="15">
        <f>ROUND(SUM(C25:N25) / MONTH(TODAY()), 0)</f>
        <v/>
      </c>
      <c r="P25" s="16">
        <f>ROUND(SUM(C25:N25), 0)</f>
        <v/>
      </c>
    </row>
    <row r="26" ht="15" customHeight="1">
      <c r="A26" s="47" t="n"/>
      <c r="B26" s="26" t="inlineStr">
        <is>
          <t>אינטרנט</t>
        </is>
      </c>
      <c r="C26" s="19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19">
        <f>ROUND(SUM(C26:N26) / MONTH(TODAY()), 0)</f>
        <v/>
      </c>
      <c r="P26" s="21">
        <f>ROUND(SUM(C26:N26), 0)</f>
        <v/>
      </c>
    </row>
    <row r="27" ht="15" customHeight="1">
      <c r="A27" s="45" t="inlineStr">
        <is>
          <t>בנק</t>
        </is>
      </c>
      <c r="B27" s="27" t="inlineStr">
        <is>
          <t>עמלות</t>
        </is>
      </c>
      <c r="C27" s="28" t="n"/>
      <c r="D27" s="29" t="n"/>
      <c r="E27" s="29" t="n"/>
      <c r="F27" s="29" t="n"/>
      <c r="G27" s="29" t="n"/>
      <c r="H27" s="29" t="n"/>
      <c r="I27" s="29" t="n"/>
      <c r="J27" s="29" t="n"/>
      <c r="K27" s="29" t="n"/>
      <c r="L27" s="29" t="n"/>
      <c r="M27" s="29" t="n"/>
      <c r="N27" s="29" t="n"/>
      <c r="O27" s="30">
        <f>ROUND(SUM(C27:N27) / MONTH(TODAY()), 0)</f>
        <v/>
      </c>
      <c r="P27" s="31">
        <f>ROUND(SUM(C27:N27), 0)</f>
        <v/>
      </c>
      <c r="Q27" s="13" t="n"/>
      <c r="R27" s="13" t="n"/>
      <c r="S27" s="13" t="n"/>
      <c r="T27" s="13" t="n"/>
      <c r="U27" s="13" t="n"/>
    </row>
    <row r="28" ht="15" customHeight="1">
      <c r="A28" s="45" t="inlineStr">
        <is>
          <t>ביטוחים</t>
        </is>
      </c>
      <c r="B28" s="22" t="inlineStr">
        <is>
          <t>ביטוחי חיים</t>
        </is>
      </c>
      <c r="C28" s="9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32" t="n"/>
      <c r="O28" s="11">
        <f>ROUND(SUM(C28:N28) / MONTH(TODAY()), 0)</f>
        <v/>
      </c>
      <c r="P28" s="12">
        <f>ROUND(SUM(C28:N28), 0)</f>
        <v/>
      </c>
      <c r="Q28" s="13" t="n"/>
      <c r="R28" s="13" t="n"/>
      <c r="S28" s="13" t="n"/>
      <c r="T28" s="13" t="n"/>
      <c r="U28" s="13" t="n"/>
    </row>
    <row r="29" ht="15" customHeight="1">
      <c r="A29" s="47" t="n"/>
      <c r="B29" s="33" t="inlineStr">
        <is>
          <t>ביטוחי בריאות</t>
        </is>
      </c>
      <c r="C29" s="34" t="n"/>
      <c r="D29" s="35" t="n"/>
      <c r="E29" s="35" t="n"/>
      <c r="F29" s="35" t="n"/>
      <c r="G29" s="35" t="n"/>
      <c r="H29" s="35" t="n"/>
      <c r="I29" s="35" t="n"/>
      <c r="J29" s="35" t="n"/>
      <c r="K29" s="35" t="n"/>
      <c r="L29" s="35" t="n"/>
      <c r="M29" s="35" t="n"/>
      <c r="N29" s="36" t="n"/>
      <c r="O29" s="19">
        <f>ROUND(SUM(C29:N29) / MONTH(TODAY()), 0)</f>
        <v/>
      </c>
      <c r="P29" s="21">
        <f>ROUND(SUM(C29:N29), 0)</f>
        <v/>
      </c>
      <c r="Q29" s="13" t="n"/>
      <c r="R29" s="13" t="n"/>
      <c r="S29" s="13" t="n"/>
      <c r="T29" s="13" t="n"/>
      <c r="U29" s="13" t="n"/>
    </row>
    <row r="30" ht="15" customHeight="1">
      <c r="A30" s="48" t="inlineStr">
        <is>
          <t>בריאות</t>
        </is>
      </c>
      <c r="B30" s="37" t="inlineStr">
        <is>
          <t>בית מרקחת</t>
        </is>
      </c>
      <c r="C30" s="38" t="n"/>
      <c r="D30" s="38" t="n"/>
      <c r="E30" s="38" t="n"/>
      <c r="F30" s="38" t="n"/>
      <c r="G30" s="38" t="n"/>
      <c r="H30" s="38" t="n"/>
      <c r="I30" s="38" t="n"/>
      <c r="J30" s="38" t="n"/>
      <c r="K30" s="38" t="n"/>
      <c r="L30" s="38" t="n"/>
      <c r="M30" s="38" t="n"/>
      <c r="N30" s="38" t="n"/>
      <c r="O30" s="11">
        <f>ROUND(SUM(C30:N30) / MONTH(TODAY()), 0)</f>
        <v/>
      </c>
      <c r="P30" s="12">
        <f>ROUND(SUM(C30:N30), 0)</f>
        <v/>
      </c>
      <c r="Q30" s="13" t="n"/>
      <c r="R30" s="13" t="n"/>
      <c r="S30" s="13" t="n"/>
      <c r="T30" s="13" t="n"/>
      <c r="U30" s="13" t="n"/>
    </row>
    <row r="31" ht="15" customHeight="1">
      <c r="A31" s="47" t="n"/>
      <c r="B31" s="33" t="inlineStr">
        <is>
          <t>טיפולים</t>
        </is>
      </c>
      <c r="C31" s="38" t="n"/>
      <c r="D31" s="38" t="n"/>
      <c r="E31" s="38" t="n"/>
      <c r="F31" s="38" t="n"/>
      <c r="G31" s="38" t="n"/>
      <c r="H31" s="38" t="n"/>
      <c r="I31" s="38" t="n"/>
      <c r="J31" s="38" t="n"/>
      <c r="K31" s="38" t="n"/>
      <c r="L31" s="38" t="n"/>
      <c r="M31" s="38" t="n"/>
      <c r="N31" s="38" t="n"/>
      <c r="O31" s="19">
        <f>ROUND(SUM(C31:N31) / MONTH(TODAY()), 0)</f>
        <v/>
      </c>
      <c r="P31" s="21">
        <f>ROUND(SUM(C31:N31), 0)</f>
        <v/>
      </c>
      <c r="Q31" s="13" t="n"/>
      <c r="R31" s="13" t="n"/>
      <c r="S31" s="13" t="n"/>
      <c r="T31" s="13" t="n"/>
      <c r="U31" s="13" t="n"/>
    </row>
    <row r="32" ht="15" customHeight="1">
      <c r="A32" s="48" t="inlineStr">
        <is>
          <t>אופנה</t>
        </is>
      </c>
      <c r="B32" s="37" t="inlineStr">
        <is>
          <t>חנויות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1">
        <f>ROUND(SUM(C32:N32) / MONTH(TODAY()), 0)</f>
        <v/>
      </c>
      <c r="P32" s="12">
        <f>ROUND(SUM(C32:N32), 0)</f>
        <v/>
      </c>
      <c r="Q32" s="13" t="n"/>
      <c r="R32" s="13" t="n"/>
      <c r="S32" s="13" t="n"/>
      <c r="T32" s="13" t="n"/>
      <c r="U32" s="13" t="n"/>
    </row>
    <row r="33" ht="15" customHeight="1">
      <c r="A33" s="47" t="n"/>
      <c r="B33" s="33" t="inlineStr">
        <is>
          <t>אונליין</t>
        </is>
      </c>
      <c r="C33" s="35" t="n"/>
      <c r="D33" s="35" t="n"/>
      <c r="E33" s="35" t="n"/>
      <c r="F33" s="35" t="n"/>
      <c r="G33" s="35" t="n"/>
      <c r="H33" s="35" t="n"/>
      <c r="I33" s="35" t="n"/>
      <c r="J33" s="35" t="n"/>
      <c r="K33" s="35" t="n"/>
      <c r="L33" s="35" t="n"/>
      <c r="M33" s="35" t="n"/>
      <c r="N33" s="35" t="n"/>
      <c r="O33" s="19">
        <f>ROUND(SUM(C33:N33) / MONTH(TODAY()), 0)</f>
        <v/>
      </c>
      <c r="P33" s="21">
        <f>ROUND(SUM(C33:N33), 0)</f>
        <v/>
      </c>
      <c r="Q33" s="13" t="n"/>
      <c r="R33" s="13" t="n"/>
      <c r="S33" s="13" t="n"/>
      <c r="T33" s="13" t="n"/>
      <c r="U33" s="13" t="n"/>
    </row>
    <row r="34" ht="15" customHeight="1">
      <c r="A34" s="39" t="inlineStr">
        <is>
          <t>מתנות</t>
        </is>
      </c>
      <c r="B34" s="33" t="inlineStr">
        <is>
          <t>מתנות</t>
        </is>
      </c>
      <c r="C34" s="28" t="n"/>
      <c r="D34" s="29" t="n"/>
      <c r="E34" s="29" t="n"/>
      <c r="F34" s="29" t="n"/>
      <c r="G34" s="29" t="n"/>
      <c r="H34" s="29" t="n"/>
      <c r="I34" s="29" t="n"/>
      <c r="J34" s="29" t="n"/>
      <c r="K34" s="29" t="n"/>
      <c r="L34" s="29" t="n"/>
      <c r="M34" s="29" t="n"/>
      <c r="N34" s="29" t="n"/>
      <c r="O34" s="30">
        <f>ROUND(SUM(C34:N34) / MONTH(TODAY()), 0)</f>
        <v/>
      </c>
      <c r="P34" s="31">
        <f>ROUND(SUM(C34:N34), 0)</f>
        <v/>
      </c>
      <c r="Q34" s="13" t="n"/>
      <c r="R34" s="13" t="n"/>
      <c r="S34" s="13" t="n"/>
      <c r="T34" s="13" t="n"/>
      <c r="U34" s="13" t="n"/>
    </row>
    <row r="35" ht="15" customHeight="1">
      <c r="A35" s="39" t="inlineStr">
        <is>
          <t>מזומן</t>
        </is>
      </c>
      <c r="B35" s="33" t="inlineStr">
        <is>
          <t>מזומן</t>
        </is>
      </c>
      <c r="C35" s="28" t="n"/>
      <c r="D35" s="29" t="n"/>
      <c r="E35" s="29" t="n"/>
      <c r="F35" s="29" t="n"/>
      <c r="G35" s="29" t="n"/>
      <c r="H35" s="29" t="n"/>
      <c r="I35" s="29" t="n"/>
      <c r="J35" s="29" t="n"/>
      <c r="K35" s="29" t="n"/>
      <c r="L35" s="29" t="n"/>
      <c r="M35" s="29" t="n"/>
      <c r="N35" s="29" t="n"/>
      <c r="O35" s="30">
        <f>ROUND(SUM(C35:N35) / MONTH(TODAY()), 0)</f>
        <v/>
      </c>
      <c r="P35" s="31">
        <f>ROUND(SUM(C35:N35), 0)</f>
        <v/>
      </c>
      <c r="Q35" s="13" t="n"/>
      <c r="R35" s="13" t="n"/>
      <c r="S35" s="13" t="n"/>
      <c r="T35" s="13" t="n"/>
      <c r="U35" s="13" t="n"/>
    </row>
    <row r="36" ht="15" customHeight="1">
      <c r="A36" s="39" t="inlineStr">
        <is>
          <t>שונות</t>
        </is>
      </c>
      <c r="B36" s="40" t="inlineStr">
        <is>
          <t>שונות</t>
        </is>
      </c>
      <c r="C36" s="28" t="n"/>
      <c r="D36" s="29" t="n"/>
      <c r="E36" s="29" t="n"/>
      <c r="F36" s="29" t="n"/>
      <c r="G36" s="29" t="n"/>
      <c r="H36" s="29" t="n"/>
      <c r="I36" s="29" t="n"/>
      <c r="J36" s="29" t="n"/>
      <c r="K36" s="29" t="n"/>
      <c r="L36" s="29" t="n"/>
      <c r="M36" s="29" t="n"/>
      <c r="N36" s="29" t="n"/>
      <c r="O36" s="30">
        <f>ROUND(SUM(C36:N36) / MONTH(TODAY()), 0)</f>
        <v/>
      </c>
      <c r="P36" s="31">
        <f>ROUND(SUM(C36:N36), 0)</f>
        <v/>
      </c>
      <c r="Q36" s="13" t="n"/>
      <c r="R36" s="13" t="n"/>
      <c r="S36" s="13" t="n"/>
      <c r="T36" s="13" t="n"/>
      <c r="U36" s="13" t="n"/>
    </row>
    <row r="37" ht="15" customHeight="1">
      <c r="A37" s="49" t="inlineStr">
        <is>
          <t>סיכום</t>
        </is>
      </c>
      <c r="B37" s="50" t="n"/>
      <c r="C37" s="41">
        <f>SUM(C2:INDEX(C:C, MATCH("סיכום", $A:$A, 0)-1))</f>
        <v/>
      </c>
      <c r="D37" s="41">
        <f>SUM(D2:INDEX(D:D, MATCH("סיכום", $A:$A, 0)-1))</f>
        <v/>
      </c>
      <c r="E37" s="41">
        <f>SUM(E2:INDEX(E:E, MATCH("סיכום", $A:$A, 0)-1))</f>
        <v/>
      </c>
      <c r="F37" s="41">
        <f>SUM(F2:INDEX(F:F, MATCH("סיכום", $A:$A, 0)-1))</f>
        <v/>
      </c>
      <c r="G37" s="41">
        <f>SUM(G2:INDEX(G:G, MATCH("סיכום", $A:$A, 0)-1))</f>
        <v/>
      </c>
      <c r="H37" s="41">
        <f>SUM(H2:INDEX(H:H, MATCH("סיכום", $A:$A, 0)-1))</f>
        <v/>
      </c>
      <c r="I37" s="41">
        <f>SUM(I2:INDEX(I:I, MATCH("סיכום", $A:$A, 0)-1))</f>
        <v/>
      </c>
      <c r="J37" s="41">
        <f>SUM(J2:INDEX(J:J, MATCH("סיכום", $A:$A, 0)-1))</f>
        <v/>
      </c>
      <c r="K37" s="41">
        <f>SUM(K2:INDEX(K:K, MATCH("סיכום", $A:$A, 0)-1))</f>
        <v/>
      </c>
      <c r="L37" s="41">
        <f>SUM(L2:INDEX(L:L, MATCH("סיכום", $A:$A, 0)-1))</f>
        <v/>
      </c>
      <c r="M37" s="41">
        <f>SUM(M2:INDEX(M:M, MATCH("סיכום", $A:$A, 0)-1))</f>
        <v/>
      </c>
      <c r="N37" s="41">
        <f>SUM(N2:INDEX(N:N, MATCH("סיכום", $A:$A, 0)-1))</f>
        <v/>
      </c>
      <c r="O37" s="42">
        <f>SUM(O2:O36)</f>
        <v/>
      </c>
      <c r="P37" s="41">
        <f>SUM(P2:P36)</f>
        <v/>
      </c>
      <c r="Q37" s="13" t="n"/>
      <c r="R37" s="13" t="n"/>
      <c r="S37" s="13" t="n"/>
      <c r="T37" s="13" t="n"/>
      <c r="U37" s="13" t="n"/>
    </row>
    <row r="38" ht="15" customHeight="1">
      <c r="E38" s="17" t="n"/>
      <c r="F38" s="18" t="n"/>
    </row>
    <row r="41" ht="15" customHeight="1">
      <c r="Q41" s="43" t="n"/>
    </row>
  </sheetData>
  <mergeCells count="9">
    <mergeCell ref="A21:A23"/>
    <mergeCell ref="A32:A33"/>
    <mergeCell ref="A28:A29"/>
    <mergeCell ref="A37:B37"/>
    <mergeCell ref="A24:A26"/>
    <mergeCell ref="A2:A10"/>
    <mergeCell ref="A11:A17"/>
    <mergeCell ref="A18:A20"/>
    <mergeCell ref="A30:A31"/>
  </mergeCells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1"/>
  <sheetViews>
    <sheetView rightToLeft="1" workbookViewId="0">
      <selection activeCell="A1" sqref="A1"/>
    </sheetView>
  </sheetViews>
  <sheetFormatPr baseColWidth="8" defaultColWidth="8.85546875" defaultRowHeight="15"/>
  <cols>
    <col width="12" customWidth="1" style="1" min="1" max="1"/>
    <col width="18" customWidth="1" style="1" min="2" max="2"/>
    <col width="8.42578125" customWidth="1" style="1" min="3" max="6"/>
    <col width="11.5703125" customWidth="1" style="1" min="7" max="9"/>
    <col width="8.42578125" customWidth="1" style="1" min="10" max="10"/>
    <col width="11.5703125" customWidth="1" style="1" min="11" max="16"/>
    <col width="10" customWidth="1" style="1" min="17" max="21"/>
    <col width="8.140625" customWidth="1" style="1" min="22" max="22"/>
    <col width="11.5703125" customWidth="1" min="16384" max="16384"/>
  </cols>
  <sheetData>
    <row r="1" ht="15" customHeight="1">
      <c r="A1" s="2" t="inlineStr">
        <is>
          <t>נושא</t>
        </is>
      </c>
      <c r="B1" s="2" t="inlineStr">
        <is>
          <t>פירוט הוצאות</t>
        </is>
      </c>
      <c r="C1" s="3" t="n">
        <v>1</v>
      </c>
      <c r="D1" s="3" t="n">
        <v>2</v>
      </c>
      <c r="E1" s="3" t="n">
        <v>3</v>
      </c>
      <c r="F1" s="3" t="n">
        <v>4</v>
      </c>
      <c r="G1" s="3" t="n">
        <v>5</v>
      </c>
      <c r="H1" s="3" t="n">
        <v>6</v>
      </c>
      <c r="I1" s="3" t="n">
        <v>7</v>
      </c>
      <c r="J1" s="3" t="n">
        <v>8</v>
      </c>
      <c r="K1" s="3" t="n">
        <v>9</v>
      </c>
      <c r="L1" s="3" t="n">
        <v>10</v>
      </c>
      <c r="M1" s="3" t="n">
        <v>11</v>
      </c>
      <c r="N1" s="3" t="n">
        <v>12</v>
      </c>
      <c r="O1" s="4" t="inlineStr">
        <is>
          <t>ממוצע חודשי</t>
        </is>
      </c>
      <c r="P1" s="5" t="inlineStr">
        <is>
          <t>עלות מצטברת</t>
        </is>
      </c>
      <c r="Q1" s="6" t="n"/>
      <c r="R1" s="6" t="n"/>
      <c r="S1" s="6" t="n"/>
      <c r="T1" s="6" t="n"/>
      <c r="U1" s="6" t="n"/>
      <c r="V1" s="7" t="n"/>
    </row>
    <row r="2" ht="15" customHeight="1">
      <c r="A2" s="45" t="inlineStr">
        <is>
          <t>רכב</t>
        </is>
      </c>
      <c r="B2" s="8" t="inlineStr">
        <is>
          <t>דלק</t>
        </is>
      </c>
      <c r="C2" s="51" t="n">
        <v>200</v>
      </c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1">
        <f>ROUND(SUM(C2:N2) / MONTH(TODAY()), 0)</f>
        <v/>
      </c>
      <c r="P2" s="12">
        <f>ROUND(SUM(C2:N2), 0)</f>
        <v/>
      </c>
      <c r="Q2" s="13" t="n"/>
      <c r="R2" s="13" t="n"/>
      <c r="S2" s="13" t="n"/>
      <c r="T2" s="13" t="n"/>
      <c r="U2" s="13" t="n"/>
    </row>
    <row r="3" ht="15" customHeight="1">
      <c r="A3" s="46" t="n"/>
      <c r="B3" s="14" t="inlineStr">
        <is>
          <t>ביטוח חובה</t>
        </is>
      </c>
      <c r="C3" s="15" t="n"/>
      <c r="O3" s="15">
        <f>ROUND(SUM(C3:N3) / MONTH(TODAY()), 0)</f>
        <v/>
      </c>
      <c r="P3" s="16">
        <f>ROUND(SUM(C3:N3), 0)</f>
        <v/>
      </c>
    </row>
    <row r="4" ht="15" customHeight="1">
      <c r="A4" s="46" t="n"/>
      <c r="B4" s="14" t="inlineStr">
        <is>
          <t>ביטוח מקיף</t>
        </is>
      </c>
      <c r="C4" s="15" t="n"/>
      <c r="O4" s="15">
        <f>ROUND(SUM(C4:N4) / MONTH(TODAY()), 0)</f>
        <v/>
      </c>
      <c r="P4" s="16">
        <f>ROUND(SUM(C4:N4), 0)</f>
        <v/>
      </c>
    </row>
    <row r="5" ht="15" customHeight="1">
      <c r="A5" s="46" t="n"/>
      <c r="B5" s="14" t="inlineStr">
        <is>
          <t>טיפולים</t>
        </is>
      </c>
      <c r="C5" s="15" t="n"/>
      <c r="O5" s="15">
        <f>ROUND(SUM(C5:N5) / MONTH(TODAY()), 0)</f>
        <v/>
      </c>
      <c r="P5" s="16">
        <f>ROUND(SUM(C5:N5), 0)</f>
        <v/>
      </c>
    </row>
    <row r="6" ht="15" customHeight="1">
      <c r="A6" s="46" t="n"/>
      <c r="B6" s="14" t="inlineStr">
        <is>
          <t>אגרה וטסט</t>
        </is>
      </c>
      <c r="C6" s="15" t="n"/>
      <c r="O6" s="15">
        <f>ROUND(SUM(C6:N6) / MONTH(TODAY()), 0)</f>
        <v/>
      </c>
      <c r="P6" s="16">
        <f>ROUND(SUM(C6:N6), 0)</f>
        <v/>
      </c>
      <c r="Q6" s="17" t="n"/>
      <c r="R6" s="17" t="n"/>
      <c r="S6" s="18" t="n"/>
    </row>
    <row r="7" ht="15" customHeight="1">
      <c r="A7" s="46" t="n"/>
      <c r="B7" s="14" t="inlineStr">
        <is>
          <t>כבישי אגרה</t>
        </is>
      </c>
      <c r="C7" s="15" t="n"/>
      <c r="O7" s="15">
        <f>ROUND(SUM(C7:N7) / MONTH(TODAY()), 0)</f>
        <v/>
      </c>
      <c r="P7" s="16">
        <f>ROUND(SUM(C7:N7), 0)</f>
        <v/>
      </c>
      <c r="Q7" s="17" t="n"/>
      <c r="R7" s="17" t="n"/>
      <c r="S7" s="18" t="n"/>
    </row>
    <row r="8" ht="15" customHeight="1">
      <c r="A8" s="46" t="n"/>
      <c r="B8" s="14" t="inlineStr">
        <is>
          <t>חניה</t>
        </is>
      </c>
      <c r="C8" s="15" t="n"/>
      <c r="O8" s="15">
        <f>ROUND(SUM(C8:N8) / MONTH(TODAY()), 0)</f>
        <v/>
      </c>
      <c r="P8" s="16">
        <f>ROUND(SUM(C8:N8), 0)</f>
        <v/>
      </c>
      <c r="Q8" s="17" t="n"/>
      <c r="R8" s="17" t="n"/>
      <c r="S8" s="18" t="n"/>
    </row>
    <row r="9" ht="15" customHeight="1">
      <c r="A9" s="46" t="n"/>
      <c r="B9" s="16" t="inlineStr">
        <is>
          <t>תחב"צ</t>
        </is>
      </c>
      <c r="C9" s="15" t="n"/>
      <c r="O9" s="15">
        <f>ROUND(SUM(C9:N9) / MONTH(TODAY()), 0)</f>
        <v/>
      </c>
      <c r="P9" s="16">
        <f>ROUND(SUM(C9:N9), 0)</f>
        <v/>
      </c>
      <c r="Q9" s="17" t="n"/>
      <c r="R9" s="17" t="n"/>
      <c r="S9" s="18" t="n"/>
    </row>
    <row r="10" ht="15" customHeight="1">
      <c r="A10" s="47" t="n"/>
      <c r="B10" s="16" t="inlineStr">
        <is>
          <t>רכב: שונות</t>
        </is>
      </c>
      <c r="C10" s="19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19">
        <f>ROUND(SUM(C10:N10) / MONTH(TODAY()), 0)</f>
        <v/>
      </c>
      <c r="P10" s="21">
        <f>ROUND(SUM(C10:N10), 0)</f>
        <v/>
      </c>
      <c r="Q10" s="17" t="n"/>
      <c r="R10" s="17" t="n"/>
      <c r="S10" s="18" t="n"/>
    </row>
    <row r="11" ht="15" customHeight="1">
      <c r="A11" s="45" t="inlineStr">
        <is>
          <t>דירה</t>
        </is>
      </c>
      <c r="B11" s="22" t="inlineStr">
        <is>
          <t>שכירות\משכנתא</t>
        </is>
      </c>
      <c r="C11" s="9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1">
        <f>ROUND(SUM(C11:N11) / MONTH(TODAY()), 0)</f>
        <v/>
      </c>
      <c r="P11" s="12">
        <f>ROUND(SUM(C11:N11), 0)</f>
        <v/>
      </c>
      <c r="Q11" s="23" t="n"/>
      <c r="R11" s="23" t="n"/>
      <c r="S11" s="24" t="n"/>
      <c r="T11" s="13" t="n"/>
      <c r="U11" s="13" t="n"/>
    </row>
    <row r="12" ht="15" customHeight="1">
      <c r="A12" s="46" t="n"/>
      <c r="B12" s="14" t="inlineStr">
        <is>
          <t>ועד בית</t>
        </is>
      </c>
      <c r="C12" s="15" t="n"/>
      <c r="O12" s="15">
        <f>ROUND(SUM(C12:N12) / MONTH(TODAY()), 0)</f>
        <v/>
      </c>
      <c r="P12" s="16">
        <f>ROUND(SUM(C12:N12), 0)</f>
        <v/>
      </c>
      <c r="Q12" s="17" t="n"/>
      <c r="R12" s="17" t="n"/>
      <c r="S12" s="18" t="n"/>
    </row>
    <row r="13" ht="15" customHeight="1">
      <c r="A13" s="46" t="n"/>
      <c r="B13" s="14" t="inlineStr">
        <is>
          <t>ארנונה</t>
        </is>
      </c>
      <c r="C13" s="15" t="n"/>
      <c r="O13" s="15">
        <f>ROUND(SUM(C13:N13) / MONTH(TODAY()), 0)</f>
        <v/>
      </c>
      <c r="P13" s="16">
        <f>ROUND(SUM(C13:N13), 0)</f>
        <v/>
      </c>
      <c r="Q13" s="17" t="n"/>
      <c r="R13" s="17" t="n"/>
      <c r="S13" s="18" t="n"/>
    </row>
    <row r="14" ht="15" customHeight="1">
      <c r="A14" s="46" t="n"/>
      <c r="B14" s="14" t="inlineStr">
        <is>
          <t>חשמל</t>
        </is>
      </c>
      <c r="C14" s="15" t="n"/>
      <c r="O14" s="15">
        <f>ROUND(SUM(C14:N14) / MONTH(TODAY()), 0)</f>
        <v/>
      </c>
      <c r="P14" s="16">
        <f>ROUND(SUM(C14:N14), 0)</f>
        <v/>
      </c>
      <c r="Q14" s="17" t="n"/>
      <c r="R14" s="17" t="n"/>
      <c r="S14" s="18" t="n"/>
    </row>
    <row r="15" ht="15" customHeight="1">
      <c r="A15" s="46" t="n"/>
      <c r="B15" s="14" t="inlineStr">
        <is>
          <t>מים</t>
        </is>
      </c>
      <c r="C15" s="15" t="n"/>
      <c r="O15" s="15">
        <f>ROUND(SUM(C15:N15) / MONTH(TODAY()), 0)</f>
        <v/>
      </c>
      <c r="P15" s="16">
        <f>ROUND(SUM(C15:N15), 0)</f>
        <v/>
      </c>
      <c r="Q15" s="17" t="n"/>
      <c r="R15" s="17" t="n"/>
      <c r="S15" s="18" t="n"/>
    </row>
    <row r="16" ht="15" customHeight="1">
      <c r="A16" s="46" t="n"/>
      <c r="B16" s="14" t="inlineStr">
        <is>
          <t>גז</t>
        </is>
      </c>
      <c r="C16" s="15" t="n"/>
      <c r="O16" s="15">
        <f>ROUND(SUM(C16:N16) / MONTH(TODAY()), 0)</f>
        <v/>
      </c>
      <c r="P16" s="16">
        <f>ROUND(SUM(C16:N16), 0)</f>
        <v/>
      </c>
      <c r="Q16" s="17" t="n"/>
      <c r="R16" s="17" t="n"/>
      <c r="S16" s="18" t="n"/>
    </row>
    <row r="17" ht="15" customHeight="1">
      <c r="A17" s="47" t="n"/>
      <c r="B17" s="14" t="inlineStr">
        <is>
          <t>תיקונים</t>
        </is>
      </c>
      <c r="C17" s="19" t="n"/>
      <c r="D17" s="20" t="n"/>
      <c r="E17" s="20" t="n"/>
      <c r="F17" s="20" t="n"/>
      <c r="G17" s="20" t="n"/>
      <c r="H17" s="20" t="n"/>
      <c r="I17" s="20" t="n"/>
      <c r="J17" s="20" t="n"/>
      <c r="K17" s="20" t="n"/>
      <c r="L17" s="20" t="n"/>
      <c r="M17" s="20" t="n"/>
      <c r="N17" s="20" t="n"/>
      <c r="O17" s="19">
        <f>ROUND(SUM(C17:N17) / MONTH(TODAY()), 0)</f>
        <v/>
      </c>
      <c r="P17" s="21">
        <f>ROUND(SUM(C17:N17), 0)</f>
        <v/>
      </c>
      <c r="Q17" s="17" t="n"/>
      <c r="R17" s="17" t="n"/>
      <c r="S17" s="18" t="n"/>
    </row>
    <row r="18" ht="15" customHeight="1">
      <c r="A18" s="45" t="inlineStr">
        <is>
          <t>בילוי</t>
        </is>
      </c>
      <c r="B18" s="22" t="inlineStr">
        <is>
          <t>חופשות וטיולים</t>
        </is>
      </c>
      <c r="C18" s="9" t="n"/>
      <c r="D18" s="10" t="n"/>
      <c r="E18" s="10" t="n"/>
      <c r="F18" s="10" t="n"/>
      <c r="G18" s="10" t="n"/>
      <c r="H18" s="10" t="n"/>
      <c r="I18" s="25" t="n"/>
      <c r="J18" s="10" t="n"/>
      <c r="K18" s="10" t="n"/>
      <c r="L18" s="10" t="n"/>
      <c r="M18" s="10" t="n"/>
      <c r="N18" s="10" t="n"/>
      <c r="O18" s="11">
        <f>ROUND(SUM(C18:N18) / MONTH(TODAY()), 0)</f>
        <v/>
      </c>
      <c r="P18" s="12">
        <f>ROUND(SUM(C18:N18), 0)</f>
        <v/>
      </c>
      <c r="Q18" s="23" t="n"/>
      <c r="R18" s="23" t="n"/>
      <c r="S18" s="24" t="n"/>
      <c r="T18" s="13" t="n"/>
      <c r="U18" s="13" t="n"/>
    </row>
    <row r="19" ht="15" customHeight="1">
      <c r="A19" s="46" t="n"/>
      <c r="B19" s="14" t="inlineStr">
        <is>
          <t>מסעדות</t>
        </is>
      </c>
      <c r="C19" s="15" t="n"/>
      <c r="O19" s="15">
        <f>ROUND(SUM(C19:N19) / MONTH(TODAY()), 0)</f>
        <v/>
      </c>
      <c r="P19" s="16">
        <f>ROUND(SUM(C19:N19), 0)</f>
        <v/>
      </c>
      <c r="Q19" s="17" t="n"/>
      <c r="R19" s="17" t="n"/>
      <c r="S19" s="18" t="n"/>
    </row>
    <row r="20" ht="15" customHeight="1">
      <c r="A20" s="47" t="n"/>
      <c r="B20" s="26" t="inlineStr">
        <is>
          <t>הופעות</t>
        </is>
      </c>
      <c r="C20" s="19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19">
        <f>ROUND(SUM(C20:N20) / MONTH(TODAY()), 0)</f>
        <v/>
      </c>
      <c r="P20" s="21">
        <f>ROUND(SUM(C20:N20), 0)</f>
        <v/>
      </c>
      <c r="Q20" s="17" t="n"/>
      <c r="R20" s="17" t="n"/>
      <c r="S20" s="18" t="n"/>
    </row>
    <row r="21" ht="15" customHeight="1">
      <c r="A21" s="45" t="inlineStr">
        <is>
          <t>מזון ומחיה</t>
        </is>
      </c>
      <c r="B21" s="22" t="inlineStr">
        <is>
          <t>קניות</t>
        </is>
      </c>
      <c r="C21" s="51" t="n">
        <v>1350.5</v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1">
        <f>ROUND(SUM(C21:N21) / MONTH(TODAY()), 0)</f>
        <v/>
      </c>
      <c r="P21" s="12">
        <f>ROUND(SUM(C21:N21), 0)</f>
        <v/>
      </c>
      <c r="Q21" s="23" t="n"/>
      <c r="R21" s="23" t="n"/>
      <c r="S21" s="24" t="n"/>
      <c r="T21" s="13" t="n"/>
      <c r="U21" s="13" t="n"/>
    </row>
    <row r="22" ht="15" customHeight="1">
      <c r="A22" s="46" t="n"/>
      <c r="B22" s="14" t="inlineStr">
        <is>
          <t>אוכל בעבודה</t>
        </is>
      </c>
      <c r="C22" s="52" t="n">
        <v>23.5</v>
      </c>
      <c r="O22" s="15">
        <f>ROUND(SUM(C22:N22) / MONTH(TODAY()), 0)</f>
        <v/>
      </c>
      <c r="P22" s="16">
        <f>ROUND(SUM(C22:N22), 0)</f>
        <v/>
      </c>
      <c r="Q22" s="17" t="n"/>
      <c r="R22" s="17" t="n"/>
      <c r="S22" s="18" t="n"/>
    </row>
    <row r="23" ht="15" customHeight="1">
      <c r="A23" s="47" t="n"/>
      <c r="B23" s="26" t="inlineStr">
        <is>
          <t>תמי 4</t>
        </is>
      </c>
      <c r="C23" s="19" t="n"/>
      <c r="D23" s="20" t="n"/>
      <c r="E23" s="20" t="n"/>
      <c r="F23" s="20" t="n"/>
      <c r="G23" s="20" t="n"/>
      <c r="H23" s="20" t="n"/>
      <c r="I23" s="20" t="n"/>
      <c r="J23" s="20" t="n"/>
      <c r="K23" s="20" t="n"/>
      <c r="L23" s="20" t="n"/>
      <c r="M23" s="20" t="n"/>
      <c r="N23" s="20" t="n"/>
      <c r="O23" s="19">
        <f>ROUND(SUM(C23:N23) / MONTH(TODAY()), 0)</f>
        <v/>
      </c>
      <c r="P23" s="21">
        <f>ROUND(SUM(C23:N23), 0)</f>
        <v/>
      </c>
      <c r="Q23" s="17" t="n"/>
      <c r="R23" s="17" t="n"/>
      <c r="S23" s="18" t="n"/>
    </row>
    <row r="24" ht="15" customHeight="1">
      <c r="A24" s="45" t="inlineStr">
        <is>
          <t>תקשורת</t>
        </is>
      </c>
      <c r="B24" s="22" t="inlineStr">
        <is>
          <t>סטרימינג</t>
        </is>
      </c>
      <c r="C24" s="51" t="n">
        <v>55</v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1">
        <f>ROUND(SUM(C24:N24) / MONTH(TODAY()), 0)</f>
        <v/>
      </c>
      <c r="P24" s="12">
        <f>ROUND(SUM(C24:N24), 0)</f>
        <v/>
      </c>
      <c r="Q24" s="13" t="n"/>
      <c r="R24" s="13" t="n"/>
      <c r="S24" s="13" t="n"/>
      <c r="T24" s="13" t="n"/>
      <c r="U24" s="13" t="n"/>
    </row>
    <row r="25" ht="15" customHeight="1">
      <c r="A25" s="46" t="n"/>
      <c r="B25" s="14" t="inlineStr">
        <is>
          <t>סלולר</t>
        </is>
      </c>
      <c r="C25" s="15" t="n"/>
      <c r="O25" s="15">
        <f>ROUND(SUM(C25:N25) / MONTH(TODAY()), 0)</f>
        <v/>
      </c>
      <c r="P25" s="16">
        <f>ROUND(SUM(C25:N25), 0)</f>
        <v/>
      </c>
    </row>
    <row r="26" ht="15" customHeight="1">
      <c r="A26" s="47" t="n"/>
      <c r="B26" s="26" t="inlineStr">
        <is>
          <t>אינטרנט</t>
        </is>
      </c>
      <c r="C26" s="19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19">
        <f>ROUND(SUM(C26:N26) / MONTH(TODAY()), 0)</f>
        <v/>
      </c>
      <c r="P26" s="21">
        <f>ROUND(SUM(C26:N26), 0)</f>
        <v/>
      </c>
    </row>
    <row r="27" ht="15" customHeight="1">
      <c r="A27" s="45" t="inlineStr">
        <is>
          <t>בנק</t>
        </is>
      </c>
      <c r="B27" s="27" t="inlineStr">
        <is>
          <t>עמלות</t>
        </is>
      </c>
      <c r="C27" s="28" t="n"/>
      <c r="D27" s="29" t="n"/>
      <c r="E27" s="29" t="n"/>
      <c r="F27" s="29" t="n"/>
      <c r="G27" s="29" t="n"/>
      <c r="H27" s="29" t="n"/>
      <c r="I27" s="29" t="n"/>
      <c r="J27" s="29" t="n"/>
      <c r="K27" s="29" t="n"/>
      <c r="L27" s="29" t="n"/>
      <c r="M27" s="29" t="n"/>
      <c r="N27" s="29" t="n"/>
      <c r="O27" s="30">
        <f>ROUND(SUM(C27:N27) / MONTH(TODAY()), 0)</f>
        <v/>
      </c>
      <c r="P27" s="31">
        <f>ROUND(SUM(C27:N27), 0)</f>
        <v/>
      </c>
      <c r="Q27" s="13" t="n"/>
      <c r="R27" s="13" t="n"/>
      <c r="S27" s="13" t="n"/>
      <c r="T27" s="13" t="n"/>
      <c r="U27" s="13" t="n"/>
    </row>
    <row r="28" ht="15" customHeight="1">
      <c r="A28" s="45" t="inlineStr">
        <is>
          <t>ביטוחים</t>
        </is>
      </c>
      <c r="B28" s="22" t="inlineStr">
        <is>
          <t>ביטוחי חיים</t>
        </is>
      </c>
      <c r="C28" s="9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32" t="n"/>
      <c r="O28" s="11">
        <f>ROUND(SUM(C28:N28) / MONTH(TODAY()), 0)</f>
        <v/>
      </c>
      <c r="P28" s="12">
        <f>ROUND(SUM(C28:N28), 0)</f>
        <v/>
      </c>
      <c r="Q28" s="13" t="n"/>
      <c r="R28" s="13" t="n"/>
      <c r="S28" s="13" t="n"/>
      <c r="T28" s="13" t="n"/>
      <c r="U28" s="13" t="n"/>
    </row>
    <row r="29" ht="15" customHeight="1">
      <c r="A29" s="47" t="n"/>
      <c r="B29" s="33" t="inlineStr">
        <is>
          <t>ביטוחי בריאות</t>
        </is>
      </c>
      <c r="C29" s="34" t="n"/>
      <c r="D29" s="35" t="n"/>
      <c r="E29" s="35" t="n"/>
      <c r="F29" s="35" t="n"/>
      <c r="G29" s="35" t="n"/>
      <c r="H29" s="35" t="n"/>
      <c r="I29" s="35" t="n"/>
      <c r="J29" s="35" t="n"/>
      <c r="K29" s="35" t="n"/>
      <c r="L29" s="35" t="n"/>
      <c r="M29" s="35" t="n"/>
      <c r="N29" s="36" t="n"/>
      <c r="O29" s="19">
        <f>ROUND(SUM(C29:N29) / MONTH(TODAY()), 0)</f>
        <v/>
      </c>
      <c r="P29" s="21">
        <f>ROUND(SUM(C29:N29), 0)</f>
        <v/>
      </c>
      <c r="Q29" s="13" t="n"/>
      <c r="R29" s="13" t="n"/>
      <c r="S29" s="13" t="n"/>
      <c r="T29" s="13" t="n"/>
      <c r="U29" s="13" t="n"/>
    </row>
    <row r="30" ht="15" customHeight="1">
      <c r="A30" s="48" t="inlineStr">
        <is>
          <t>בריאות</t>
        </is>
      </c>
      <c r="B30" s="37" t="inlineStr">
        <is>
          <t>בית מרקחת</t>
        </is>
      </c>
      <c r="C30" s="38" t="n"/>
      <c r="D30" s="38" t="n"/>
      <c r="E30" s="38" t="n"/>
      <c r="F30" s="38" t="n"/>
      <c r="G30" s="38" t="n"/>
      <c r="H30" s="38" t="n"/>
      <c r="I30" s="38" t="n"/>
      <c r="J30" s="38" t="n"/>
      <c r="K30" s="38" t="n"/>
      <c r="L30" s="38" t="n"/>
      <c r="M30" s="38" t="n"/>
      <c r="N30" s="38" t="n"/>
      <c r="O30" s="11">
        <f>ROUND(SUM(C30:N30) / MONTH(TODAY()), 0)</f>
        <v/>
      </c>
      <c r="P30" s="12">
        <f>ROUND(SUM(C30:N30), 0)</f>
        <v/>
      </c>
      <c r="Q30" s="13" t="n"/>
      <c r="R30" s="13" t="n"/>
      <c r="S30" s="13" t="n"/>
      <c r="T30" s="13" t="n"/>
      <c r="U30" s="13" t="n"/>
    </row>
    <row r="31" ht="15" customHeight="1">
      <c r="A31" s="47" t="n"/>
      <c r="B31" s="33" t="inlineStr">
        <is>
          <t>טיפולים</t>
        </is>
      </c>
      <c r="C31" s="38" t="n"/>
      <c r="D31" s="38" t="n"/>
      <c r="E31" s="38" t="n"/>
      <c r="F31" s="38" t="n"/>
      <c r="G31" s="38" t="n"/>
      <c r="H31" s="38" t="n"/>
      <c r="I31" s="38" t="n"/>
      <c r="J31" s="38" t="n"/>
      <c r="K31" s="38" t="n"/>
      <c r="L31" s="38" t="n"/>
      <c r="M31" s="38" t="n"/>
      <c r="N31" s="38" t="n"/>
      <c r="O31" s="19">
        <f>ROUND(SUM(C31:N31) / MONTH(TODAY()), 0)</f>
        <v/>
      </c>
      <c r="P31" s="21">
        <f>ROUND(SUM(C31:N31), 0)</f>
        <v/>
      </c>
      <c r="Q31" s="13" t="n"/>
      <c r="R31" s="13" t="n"/>
      <c r="S31" s="13" t="n"/>
      <c r="T31" s="13" t="n"/>
      <c r="U31" s="13" t="n"/>
    </row>
    <row r="32" ht="15" customHeight="1">
      <c r="A32" s="48" t="inlineStr">
        <is>
          <t>אופנה</t>
        </is>
      </c>
      <c r="B32" s="37" t="inlineStr">
        <is>
          <t>חנויות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1">
        <f>ROUND(SUM(C32:N32) / MONTH(TODAY()), 0)</f>
        <v/>
      </c>
      <c r="P32" s="12">
        <f>ROUND(SUM(C32:N32), 0)</f>
        <v/>
      </c>
      <c r="Q32" s="13" t="n"/>
      <c r="R32" s="13" t="n"/>
      <c r="S32" s="13" t="n"/>
      <c r="T32" s="13" t="n"/>
      <c r="U32" s="13" t="n"/>
    </row>
    <row r="33" ht="15" customHeight="1">
      <c r="A33" s="47" t="n"/>
      <c r="B33" s="33" t="inlineStr">
        <is>
          <t>אונליין</t>
        </is>
      </c>
      <c r="C33" s="35" t="n"/>
      <c r="D33" s="35" t="n"/>
      <c r="E33" s="35" t="n"/>
      <c r="F33" s="35" t="n"/>
      <c r="G33" s="35" t="n"/>
      <c r="H33" s="35" t="n"/>
      <c r="I33" s="35" t="n"/>
      <c r="J33" s="35" t="n"/>
      <c r="K33" s="35" t="n"/>
      <c r="L33" s="35" t="n"/>
      <c r="M33" s="35" t="n"/>
      <c r="N33" s="35" t="n"/>
      <c r="O33" s="19">
        <f>ROUND(SUM(C33:N33) / MONTH(TODAY()), 0)</f>
        <v/>
      </c>
      <c r="P33" s="21">
        <f>ROUND(SUM(C33:N33), 0)</f>
        <v/>
      </c>
      <c r="Q33" s="13" t="n"/>
      <c r="R33" s="13" t="n"/>
      <c r="S33" s="13" t="n"/>
      <c r="T33" s="13" t="n"/>
      <c r="U33" s="13" t="n"/>
    </row>
    <row r="34" ht="15" customHeight="1">
      <c r="A34" s="39" t="inlineStr">
        <is>
          <t>מתנות</t>
        </is>
      </c>
      <c r="B34" s="33" t="inlineStr">
        <is>
          <t>מתנות</t>
        </is>
      </c>
      <c r="C34" s="28" t="n"/>
      <c r="D34" s="29" t="n"/>
      <c r="E34" s="29" t="n"/>
      <c r="F34" s="29" t="n"/>
      <c r="G34" s="29" t="n"/>
      <c r="H34" s="29" t="n"/>
      <c r="I34" s="29" t="n"/>
      <c r="J34" s="29" t="n"/>
      <c r="K34" s="29" t="n"/>
      <c r="L34" s="29" t="n"/>
      <c r="M34" s="29" t="n"/>
      <c r="N34" s="29" t="n"/>
      <c r="O34" s="30">
        <f>ROUND(SUM(C34:N34) / MONTH(TODAY()), 0)</f>
        <v/>
      </c>
      <c r="P34" s="31">
        <f>ROUND(SUM(C34:N34), 0)</f>
        <v/>
      </c>
      <c r="Q34" s="13" t="n"/>
      <c r="R34" s="13" t="n"/>
      <c r="S34" s="13" t="n"/>
      <c r="T34" s="13" t="n"/>
      <c r="U34" s="13" t="n"/>
    </row>
    <row r="35" ht="15" customHeight="1">
      <c r="A35" s="39" t="inlineStr">
        <is>
          <t>מזומן</t>
        </is>
      </c>
      <c r="B35" s="33" t="inlineStr">
        <is>
          <t>מזומן</t>
        </is>
      </c>
      <c r="C35" s="28" t="n"/>
      <c r="D35" s="29" t="n"/>
      <c r="E35" s="29" t="n"/>
      <c r="F35" s="29" t="n"/>
      <c r="G35" s="29" t="n"/>
      <c r="H35" s="29" t="n"/>
      <c r="I35" s="29" t="n"/>
      <c r="J35" s="29" t="n"/>
      <c r="K35" s="29" t="n"/>
      <c r="L35" s="29" t="n"/>
      <c r="M35" s="29" t="n"/>
      <c r="N35" s="29" t="n"/>
      <c r="O35" s="30">
        <f>ROUND(SUM(C35:N35) / MONTH(TODAY()), 0)</f>
        <v/>
      </c>
      <c r="P35" s="31">
        <f>ROUND(SUM(C35:N35), 0)</f>
        <v/>
      </c>
      <c r="Q35" s="13" t="n"/>
      <c r="R35" s="13" t="n"/>
      <c r="S35" s="13" t="n"/>
      <c r="T35" s="13" t="n"/>
      <c r="U35" s="13" t="n"/>
    </row>
    <row r="36" ht="15" customHeight="1">
      <c r="A36" s="39" t="inlineStr">
        <is>
          <t>שונות</t>
        </is>
      </c>
      <c r="B36" s="40" t="inlineStr">
        <is>
          <t>שונות</t>
        </is>
      </c>
      <c r="C36" s="28" t="n"/>
      <c r="D36" s="29" t="n"/>
      <c r="E36" s="29" t="n"/>
      <c r="F36" s="29" t="n"/>
      <c r="G36" s="29" t="n"/>
      <c r="H36" s="29" t="n"/>
      <c r="I36" s="29" t="n"/>
      <c r="J36" s="29" t="n"/>
      <c r="K36" s="29" t="n"/>
      <c r="L36" s="29" t="n"/>
      <c r="M36" s="29" t="n"/>
      <c r="N36" s="29" t="n"/>
      <c r="O36" s="30">
        <f>ROUND(SUM(C36:N36) / MONTH(TODAY()), 0)</f>
        <v/>
      </c>
      <c r="P36" s="31">
        <f>ROUND(SUM(C36:N36), 0)</f>
        <v/>
      </c>
      <c r="Q36" s="13" t="n"/>
      <c r="R36" s="13" t="n"/>
      <c r="S36" s="13" t="n"/>
      <c r="T36" s="13" t="n"/>
      <c r="U36" s="13" t="n"/>
    </row>
    <row r="37" ht="15" customHeight="1">
      <c r="A37" s="49" t="inlineStr">
        <is>
          <t>סיכום</t>
        </is>
      </c>
      <c r="B37" s="50" t="n"/>
      <c r="C37" s="41">
        <f>SUM(C2:INDEX(C:C, MATCH("סיכום", $A:$A, 0)-1))</f>
        <v/>
      </c>
      <c r="D37" s="41">
        <f>SUM(D2:INDEX(D:D, MATCH("סיכום", $A:$A, 0)-1))</f>
        <v/>
      </c>
      <c r="E37" s="41">
        <f>SUM(E2:INDEX(E:E, MATCH("סיכום", $A:$A, 0)-1))</f>
        <v/>
      </c>
      <c r="F37" s="41">
        <f>SUM(F2:INDEX(F:F, MATCH("סיכום", $A:$A, 0)-1))</f>
        <v/>
      </c>
      <c r="G37" s="41">
        <f>SUM(G2:INDEX(G:G, MATCH("סיכום", $A:$A, 0)-1))</f>
        <v/>
      </c>
      <c r="H37" s="41">
        <f>SUM(H2:INDEX(H:H, MATCH("סיכום", $A:$A, 0)-1))</f>
        <v/>
      </c>
      <c r="I37" s="41">
        <f>SUM(I2:INDEX(I:I, MATCH("סיכום", $A:$A, 0)-1))</f>
        <v/>
      </c>
      <c r="J37" s="41">
        <f>SUM(J2:INDEX(J:J, MATCH("סיכום", $A:$A, 0)-1))</f>
        <v/>
      </c>
      <c r="K37" s="41">
        <f>SUM(K2:INDEX(K:K, MATCH("סיכום", $A:$A, 0)-1))</f>
        <v/>
      </c>
      <c r="L37" s="41">
        <f>SUM(L2:INDEX(L:L, MATCH("סיכום", $A:$A, 0)-1))</f>
        <v/>
      </c>
      <c r="M37" s="41">
        <f>SUM(M2:INDEX(M:M, MATCH("סיכום", $A:$A, 0)-1))</f>
        <v/>
      </c>
      <c r="N37" s="41">
        <f>SUM(N2:INDEX(N:N, MATCH("סיכום", $A:$A, 0)-1))</f>
        <v/>
      </c>
      <c r="O37" s="42">
        <f>SUM(O2:O36)</f>
        <v/>
      </c>
      <c r="P37" s="41">
        <f>SUM(P2:P36)</f>
        <v/>
      </c>
      <c r="Q37" s="13" t="n"/>
      <c r="R37" s="13" t="n"/>
      <c r="S37" s="13" t="n"/>
      <c r="T37" s="13" t="n"/>
      <c r="U37" s="13" t="n"/>
    </row>
    <row r="38" ht="15" customHeight="1">
      <c r="E38" s="17" t="n"/>
      <c r="F38" s="18" t="n"/>
    </row>
    <row r="39"/>
    <row r="40"/>
    <row r="41" ht="15" customHeight="1">
      <c r="Q41" s="43" t="n"/>
    </row>
  </sheetData>
  <mergeCells count="9">
    <mergeCell ref="A21:A23"/>
    <mergeCell ref="A32:A33"/>
    <mergeCell ref="A28:A29"/>
    <mergeCell ref="A37:B37"/>
    <mergeCell ref="A24:A26"/>
    <mergeCell ref="A2:A10"/>
    <mergeCell ref="A11:A17"/>
    <mergeCell ref="A18:A20"/>
    <mergeCell ref="A30:A31"/>
  </mergeCell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Shay Goldshmit</dc:creator>
  <dc:language>en-US</dc:language>
  <dcterms:created xsi:type="dcterms:W3CDTF">2015-06-05T18:19:34Z</dcterms:created>
  <dcterms:modified xsi:type="dcterms:W3CDTF">2026-01-31T00:26:38Z</dcterms:modified>
  <cp:lastModifiedBy>Shay Goldshmit</cp:lastModifiedBy>
  <cp:revision>39</cp:revision>
</cp:coreProperties>
</file>